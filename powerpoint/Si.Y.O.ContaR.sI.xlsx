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JDelgadillo\ofimatica\excel\"/>
    </mc:Choice>
  </mc:AlternateContent>
  <xr:revisionPtr revIDLastSave="0" documentId="8_{2949DD10-1EE4-4B23-8DFD-517B16319830}" xr6:coauthVersionLast="47" xr6:coauthVersionMax="47" xr10:uidLastSave="{00000000-0000-0000-0000-000000000000}"/>
  <bookViews>
    <workbookView xWindow="-120" yWindow="450" windowWidth="29040" windowHeight="15270" activeTab="1" xr2:uid="{00000000-000D-0000-FFFF-FFFF00000000}"/>
  </bookViews>
  <sheets>
    <sheet name="Intro" sheetId="1" r:id="rId1"/>
    <sheet name="Funciones Lógic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CYU0R6sveMpIUg1JPrqhLmrH3qflBGAREG+ErQy4XzY="/>
    </ext>
  </extLst>
</workbook>
</file>

<file path=xl/calcChain.xml><?xml version="1.0" encoding="utf-8"?>
<calcChain xmlns="http://schemas.openxmlformats.org/spreadsheetml/2006/main">
  <c r="O9" i="2" l="1"/>
  <c r="N11" i="2"/>
  <c r="N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9" i="2"/>
</calcChain>
</file>

<file path=xl/sharedStrings.xml><?xml version="1.0" encoding="utf-8"?>
<sst xmlns="http://schemas.openxmlformats.org/spreadsheetml/2006/main" count="424" uniqueCount="102">
  <si>
    <t>Módulo 5</t>
  </si>
  <si>
    <t>Funciones Avanzadas y Automatización</t>
  </si>
  <si>
    <t>Lógica poderosa con funciones condicionales</t>
  </si>
  <si>
    <t>Función SI, Y, O, anidación básica, decisiones inteligentes</t>
  </si>
  <si>
    <t>Profe: @soydatadani</t>
  </si>
  <si>
    <r>
      <rPr>
        <b/>
        <sz val="11"/>
        <color theme="1"/>
        <rFont val="IBM Plex Sans"/>
      </rPr>
      <t>SI</t>
    </r>
    <r>
      <rPr>
        <sz val="11"/>
        <color theme="1"/>
        <rFont val="IBM Plex Sans"/>
      </rPr>
      <t>: Si el gasto es "Prescindible", marcar como "Revisar".</t>
    </r>
  </si>
  <si>
    <r>
      <rPr>
        <b/>
        <sz val="11"/>
        <color theme="1"/>
        <rFont val="IBM Plex Sans"/>
      </rPr>
      <t>Y</t>
    </r>
    <r>
      <rPr>
        <sz val="11"/>
        <color theme="1"/>
        <rFont val="IBM Plex Sans"/>
      </rPr>
      <t xml:space="preserve">: Identificar gastos que sean "Fijos" </t>
    </r>
    <r>
      <rPr>
        <b/>
        <sz val="11"/>
        <color theme="1"/>
        <rFont val="IBM Plex Sans"/>
      </rPr>
      <t>y</t>
    </r>
    <r>
      <rPr>
        <sz val="11"/>
        <color theme="1"/>
        <rFont val="IBM Plex Sans"/>
      </rPr>
      <t xml:space="preserve"> "Necesarios".</t>
    </r>
  </si>
  <si>
    <r>
      <rPr>
        <b/>
        <sz val="11"/>
        <color theme="1"/>
        <rFont val="IBM Plex Sans"/>
      </rPr>
      <t>O</t>
    </r>
    <r>
      <rPr>
        <sz val="11"/>
        <color theme="1"/>
        <rFont val="IBM Plex Sans"/>
      </rPr>
      <t xml:space="preserve">: Marcar si un gasto fue "Imprevisto" </t>
    </r>
    <r>
      <rPr>
        <b/>
        <sz val="11"/>
        <color theme="1"/>
        <rFont val="IBM Plex Sans"/>
      </rPr>
      <t>o</t>
    </r>
    <r>
      <rPr>
        <sz val="11"/>
        <color theme="1"/>
        <rFont val="IBM Plex Sans"/>
      </rPr>
      <t xml:space="preserve"> "Prescindible"</t>
    </r>
  </si>
  <si>
    <r>
      <rPr>
        <b/>
        <sz val="11"/>
        <color theme="1"/>
        <rFont val="IBM Plex Sans"/>
      </rPr>
      <t>SUMAR.SI</t>
    </r>
    <r>
      <rPr>
        <sz val="11"/>
        <color theme="1"/>
        <rFont val="IBM Plex Sans"/>
      </rPr>
      <t>: Sumar todos los gastos de "Entretenimiento".</t>
    </r>
  </si>
  <si>
    <r>
      <rPr>
        <b/>
        <sz val="11"/>
        <color theme="1"/>
        <rFont val="IBM Plex Sans"/>
      </rPr>
      <t>CONTAR.SI:</t>
    </r>
    <r>
      <rPr>
        <sz val="11"/>
        <color theme="1"/>
        <rFont val="IBM Plex Sans"/>
      </rPr>
      <t xml:space="preserve"> Sumar todos los gastos de "Entretenimiento".</t>
    </r>
  </si>
  <si>
    <t>Fecha</t>
  </si>
  <si>
    <t>Categoría</t>
  </si>
  <si>
    <t>Subcategoría</t>
  </si>
  <si>
    <t>Descripción</t>
  </si>
  <si>
    <t>Monto</t>
  </si>
  <si>
    <t>Forma de pago</t>
  </si>
  <si>
    <t>¿Es gasto fijo o variable?</t>
  </si>
  <si>
    <t>¿Es necesario o prescindible?</t>
  </si>
  <si>
    <t>¿Fue planeado o imprevisto?</t>
  </si>
  <si>
    <t>SI</t>
  </si>
  <si>
    <t>Y</t>
  </si>
  <si>
    <t>O</t>
  </si>
  <si>
    <t>Casos SUMAR.SI</t>
  </si>
  <si>
    <t>CONTAR.SI</t>
  </si>
  <si>
    <t>27/08/2025</t>
  </si>
  <si>
    <t>Educación</t>
  </si>
  <si>
    <t>Cursos online</t>
  </si>
  <si>
    <t>Gasto en cursos online</t>
  </si>
  <si>
    <t>Transferencia</t>
  </si>
  <si>
    <t>Variable</t>
  </si>
  <si>
    <t>Prescindible</t>
  </si>
  <si>
    <t>Imprevisto</t>
  </si>
  <si>
    <t>01/06/2025</t>
  </si>
  <si>
    <t>Alimentación</t>
  </si>
  <si>
    <t>Supermercado</t>
  </si>
  <si>
    <t>Gasto en supermercado</t>
  </si>
  <si>
    <t>Tarjeta de crédito</t>
  </si>
  <si>
    <t>11/07/2025</t>
  </si>
  <si>
    <t>Personales</t>
  </si>
  <si>
    <t>Regalos</t>
  </si>
  <si>
    <t>Gasto en regalos</t>
  </si>
  <si>
    <t>PayPal</t>
  </si>
  <si>
    <t>09/07/2025</t>
  </si>
  <si>
    <t>Vivienda</t>
  </si>
  <si>
    <t>Servicios (agua, luz, gas)</t>
  </si>
  <si>
    <t>Gasto en servicios (agua, luz, gas)</t>
  </si>
  <si>
    <t>Débito</t>
  </si>
  <si>
    <t>Planeado</t>
  </si>
  <si>
    <t>03/06/2025</t>
  </si>
  <si>
    <t>Salud</t>
  </si>
  <si>
    <t>Medicinas</t>
  </si>
  <si>
    <t>Gasto en medicinas</t>
  </si>
  <si>
    <t>Necesario</t>
  </si>
  <si>
    <t>07/08/2025</t>
  </si>
  <si>
    <t>Transporte</t>
  </si>
  <si>
    <t>Uber</t>
  </si>
  <si>
    <t>Gasto en uber</t>
  </si>
  <si>
    <t>23/08/2025</t>
  </si>
  <si>
    <t>25/07/2025</t>
  </si>
  <si>
    <t>Libros</t>
  </si>
  <si>
    <t>Gasto en libros</t>
  </si>
  <si>
    <t>17/08/2025</t>
  </si>
  <si>
    <t>28/06/2025</t>
  </si>
  <si>
    <t>Consultas médicas</t>
  </si>
  <si>
    <t>Gasto en consultas médicas</t>
  </si>
  <si>
    <t>Fijo</t>
  </si>
  <si>
    <t>16/06/2025</t>
  </si>
  <si>
    <t>15/06/2025</t>
  </si>
  <si>
    <t>Entretenimiento</t>
  </si>
  <si>
    <t>Spotify</t>
  </si>
  <si>
    <t>Gasto en spotify</t>
  </si>
  <si>
    <t>Efectivo</t>
  </si>
  <si>
    <t>13/07/2025</t>
  </si>
  <si>
    <t>14/07/2025</t>
  </si>
  <si>
    <t>17/06/2025</t>
  </si>
  <si>
    <t>Cine</t>
  </si>
  <si>
    <t>Gasto en cine</t>
  </si>
  <si>
    <t>26/06/2025</t>
  </si>
  <si>
    <t>14/06/2025</t>
  </si>
  <si>
    <t>10/08/2025</t>
  </si>
  <si>
    <t>27/06/2025</t>
  </si>
  <si>
    <t>21/07/2025</t>
  </si>
  <si>
    <t>13/06/2025</t>
  </si>
  <si>
    <t>23/06/2025</t>
  </si>
  <si>
    <t>12/07/2025</t>
  </si>
  <si>
    <t>Renta</t>
  </si>
  <si>
    <t>Gasto en renta</t>
  </si>
  <si>
    <t>17/07/2025</t>
  </si>
  <si>
    <t>05/08/2025</t>
  </si>
  <si>
    <t>Gasolina</t>
  </si>
  <si>
    <t>Gasto en gasolina</t>
  </si>
  <si>
    <t>21/08/2025</t>
  </si>
  <si>
    <t>20/08/2025</t>
  </si>
  <si>
    <t>24/07/2025</t>
  </si>
  <si>
    <t>28/07/2025</t>
  </si>
  <si>
    <t>15/08/2025</t>
  </si>
  <si>
    <t>09/06/2025</t>
  </si>
  <si>
    <t>16/08/2025</t>
  </si>
  <si>
    <t>03/07/2025</t>
  </si>
  <si>
    <t>22/06/2025</t>
  </si>
  <si>
    <t>28/08/2025</t>
  </si>
  <si>
    <t>27/07/2025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</si>
</sst>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-&quot;$&quot;#,##0.00"/>
    <numFmt numFmtId="165" formatCode="_-&quot;$&quot;* #,##0.00_-;\-&quot;$&quot;* #,##0.00_-;_-&quot;$&quot;* &quot;-&quot;??_-;_-@"/>
  </numFmts>
  <fonts count="8">
    <font>
      <sz val="11"/>
      <color theme="1"/>
      <name val="Aptos Narrow"/>
      <scheme val="minor"/>
    </font>
    <font>
      <sz val="11"/>
      <color theme="1"/>
      <name val="Aptos Narrow"/>
    </font>
    <font>
      <sz val="48"/>
      <color theme="1"/>
      <name val="IBM Plex Sans"/>
    </font>
    <font>
      <sz val="18"/>
      <color rgb="FFFFFFFF"/>
      <name val="IBM Plex Sans"/>
    </font>
    <font>
      <sz val="14"/>
      <color theme="0"/>
      <name val="IBM Plex Sans"/>
    </font>
    <font>
      <sz val="22"/>
      <color theme="1"/>
      <name val="IBM Plex Sans"/>
    </font>
    <font>
      <sz val="11"/>
      <color theme="1"/>
      <name val="IBM Plex Sans"/>
    </font>
    <font>
      <b/>
      <sz val="11"/>
      <color theme="1"/>
      <name val="IBM Plex Sans"/>
    </font>
  </fonts>
  <fills count="3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/>
    <xf numFmtId="0" fontId="4" fillId="2" borderId="1" xfId="0" applyFont="1" applyFill="1" applyBorder="1"/>
    <xf numFmtId="0" fontId="5" fillId="2" borderId="1" xfId="0" applyFont="1" applyFill="1" applyBorder="1"/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7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64" fontId="6" fillId="0" borderId="0" xfId="0" applyNumberFormat="1" applyFont="1"/>
    <xf numFmtId="165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Ejemplo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'Funciones Lógicas'!$F$9:$F$58</c:f>
              <c:numCache>
                <c:formatCode>"$"#,##0.00;[Red]\-"$"#,##0.00</c:formatCode>
                <c:ptCount val="50"/>
                <c:pt idx="0">
                  <c:v>2426.35</c:v>
                </c:pt>
                <c:pt idx="1">
                  <c:v>6811.21</c:v>
                </c:pt>
                <c:pt idx="2">
                  <c:v>1376.62</c:v>
                </c:pt>
                <c:pt idx="3">
                  <c:v>586.6</c:v>
                </c:pt>
                <c:pt idx="4">
                  <c:v>7141.26</c:v>
                </c:pt>
                <c:pt idx="5">
                  <c:v>743.9</c:v>
                </c:pt>
                <c:pt idx="6">
                  <c:v>6947.58</c:v>
                </c:pt>
                <c:pt idx="7">
                  <c:v>2689.67</c:v>
                </c:pt>
                <c:pt idx="8">
                  <c:v>9140.57</c:v>
                </c:pt>
                <c:pt idx="9">
                  <c:v>8301.77</c:v>
                </c:pt>
                <c:pt idx="10">
                  <c:v>7326.61</c:v>
                </c:pt>
                <c:pt idx="11">
                  <c:v>8315.89</c:v>
                </c:pt>
                <c:pt idx="12">
                  <c:v>5654.18</c:v>
                </c:pt>
                <c:pt idx="13">
                  <c:v>7343.24</c:v>
                </c:pt>
                <c:pt idx="14">
                  <c:v>4102.43</c:v>
                </c:pt>
                <c:pt idx="15">
                  <c:v>3965.02</c:v>
                </c:pt>
                <c:pt idx="16">
                  <c:v>2071.0100000000002</c:v>
                </c:pt>
                <c:pt idx="17">
                  <c:v>8580.83</c:v>
                </c:pt>
                <c:pt idx="18">
                  <c:v>6583.38</c:v>
                </c:pt>
                <c:pt idx="19">
                  <c:v>3520.45</c:v>
                </c:pt>
                <c:pt idx="20">
                  <c:v>6990.49</c:v>
                </c:pt>
                <c:pt idx="21">
                  <c:v>9927.27</c:v>
                </c:pt>
                <c:pt idx="22">
                  <c:v>6176.14</c:v>
                </c:pt>
                <c:pt idx="23">
                  <c:v>4321.1499999999996</c:v>
                </c:pt>
                <c:pt idx="24">
                  <c:v>4059.2</c:v>
                </c:pt>
                <c:pt idx="25">
                  <c:v>6535</c:v>
                </c:pt>
                <c:pt idx="26">
                  <c:v>7619.61</c:v>
                </c:pt>
                <c:pt idx="27">
                  <c:v>3917.72</c:v>
                </c:pt>
                <c:pt idx="28">
                  <c:v>1453.36</c:v>
                </c:pt>
                <c:pt idx="29">
                  <c:v>7377.79</c:v>
                </c:pt>
                <c:pt idx="30">
                  <c:v>9619.9</c:v>
                </c:pt>
                <c:pt idx="31">
                  <c:v>2417.2399999999998</c:v>
                </c:pt>
                <c:pt idx="32">
                  <c:v>9001.17</c:v>
                </c:pt>
                <c:pt idx="33">
                  <c:v>3176.46</c:v>
                </c:pt>
                <c:pt idx="34">
                  <c:v>4774.8</c:v>
                </c:pt>
                <c:pt idx="35">
                  <c:v>8497.76</c:v>
                </c:pt>
                <c:pt idx="36">
                  <c:v>8991.42</c:v>
                </c:pt>
                <c:pt idx="37">
                  <c:v>6770.1</c:v>
                </c:pt>
                <c:pt idx="38">
                  <c:v>7026.3</c:v>
                </c:pt>
                <c:pt idx="39">
                  <c:v>4253.43</c:v>
                </c:pt>
                <c:pt idx="40">
                  <c:v>2379.81</c:v>
                </c:pt>
                <c:pt idx="41">
                  <c:v>4075.05</c:v>
                </c:pt>
                <c:pt idx="42">
                  <c:v>1822.13</c:v>
                </c:pt>
                <c:pt idx="43">
                  <c:v>1370.02</c:v>
                </c:pt>
                <c:pt idx="44">
                  <c:v>3483.18</c:v>
                </c:pt>
                <c:pt idx="45">
                  <c:v>4601.57</c:v>
                </c:pt>
                <c:pt idx="46">
                  <c:v>4776.8500000000004</c:v>
                </c:pt>
                <c:pt idx="47">
                  <c:v>9482.19</c:v>
                </c:pt>
                <c:pt idx="48">
                  <c:v>9701.49</c:v>
                </c:pt>
                <c:pt idx="49">
                  <c:v>2150.65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12-42C3-8BC3-007826429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484111"/>
        <c:axId val="1210485775"/>
      </c:lineChart>
      <c:catAx>
        <c:axId val="121048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10485775"/>
        <c:crosses val="autoZero"/>
        <c:auto val="1"/>
        <c:lblAlgn val="ctr"/>
        <c:lblOffset val="100"/>
        <c:noMultiLvlLbl val="0"/>
      </c:catAx>
      <c:valAx>
        <c:axId val="121048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;[Red]\-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1048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714375</xdr:colOff>
      <xdr:row>1</xdr:row>
      <xdr:rowOff>19050</xdr:rowOff>
    </xdr:from>
    <xdr:ext cx="4457700" cy="657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120960" y="3456150"/>
          <a:ext cx="4450080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Funciones Lógicas</a:t>
          </a:r>
          <a:endParaRPr sz="1400"/>
        </a:p>
      </xdr:txBody>
    </xdr:sp>
    <xdr:clientData fLocksWithSheet="0"/>
  </xdr:oneCellAnchor>
  <xdr:twoCellAnchor>
    <xdr:from>
      <xdr:col>4</xdr:col>
      <xdr:colOff>4762</xdr:colOff>
      <xdr:row>58</xdr:row>
      <xdr:rowOff>171450</xdr:rowOff>
    </xdr:from>
    <xdr:to>
      <xdr:col>8</xdr:col>
      <xdr:colOff>795337</xdr:colOff>
      <xdr:row>74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CEE6C4-1B7E-4810-941B-C70B998AC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2.625" defaultRowHeight="15" customHeight="1"/>
  <cols>
    <col min="1" max="6" width="11.5" customWidth="1"/>
    <col min="7" max="26" width="10.6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5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Normal="100" workbookViewId="0">
      <selection activeCell="N9" sqref="N9"/>
    </sheetView>
  </sheetViews>
  <sheetFormatPr baseColWidth="10" defaultColWidth="12.625" defaultRowHeight="15" customHeight="1"/>
  <cols>
    <col min="1" max="1" width="11.5" customWidth="1"/>
    <col min="2" max="2" width="13.625" customWidth="1"/>
    <col min="3" max="3" width="11.5" customWidth="1"/>
    <col min="4" max="4" width="17.875" customWidth="1"/>
    <col min="5" max="5" width="11.875" customWidth="1"/>
    <col min="6" max="6" width="11.625" customWidth="1"/>
    <col min="7" max="7" width="11.5" customWidth="1"/>
    <col min="8" max="8" width="14.625" customWidth="1"/>
    <col min="9" max="9" width="13.375" customWidth="1"/>
    <col min="10" max="10" width="14.875" customWidth="1"/>
    <col min="11" max="11" width="11.5" customWidth="1"/>
    <col min="12" max="12" width="19.25" customWidth="1"/>
    <col min="13" max="13" width="14.5" customWidth="1"/>
    <col min="14" max="14" width="15.25" customWidth="1"/>
    <col min="15" max="15" width="13.75" customWidth="1"/>
    <col min="16" max="26" width="10.625" customWidth="1"/>
  </cols>
  <sheetData>
    <row r="1" spans="1:26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6"/>
      <c r="B2" s="6"/>
      <c r="C2" s="6"/>
      <c r="D2" s="6"/>
      <c r="E2" s="6"/>
      <c r="F2" s="6"/>
      <c r="G2" s="6"/>
      <c r="H2" s="7">
        <v>1</v>
      </c>
      <c r="I2" s="8" t="s">
        <v>5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6"/>
      <c r="B3" s="6"/>
      <c r="C3" s="6"/>
      <c r="D3" s="6"/>
      <c r="E3" s="6"/>
      <c r="F3" s="6"/>
      <c r="G3" s="6"/>
      <c r="H3" s="7">
        <v>2</v>
      </c>
      <c r="I3" s="8" t="s">
        <v>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"/>
      <c r="B4" s="6"/>
      <c r="C4" s="6"/>
      <c r="D4" s="6"/>
      <c r="E4" s="6"/>
      <c r="F4" s="6"/>
      <c r="G4" s="6"/>
      <c r="H4" s="7">
        <v>3</v>
      </c>
      <c r="I4" s="8" t="s">
        <v>7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6"/>
      <c r="B5" s="6"/>
      <c r="C5" s="6"/>
      <c r="D5" s="6"/>
      <c r="E5" s="6"/>
      <c r="F5" s="6"/>
      <c r="G5" s="6"/>
      <c r="H5" s="7">
        <v>4</v>
      </c>
      <c r="I5" s="8" t="s">
        <v>8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"/>
      <c r="B6" s="6"/>
      <c r="C6" s="6"/>
      <c r="D6" s="6"/>
      <c r="E6" s="6"/>
      <c r="F6" s="6"/>
      <c r="G6" s="6"/>
      <c r="H6" s="7">
        <v>5</v>
      </c>
      <c r="I6" s="6" t="s">
        <v>9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7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6"/>
      <c r="B8" s="9" t="s">
        <v>10</v>
      </c>
      <c r="C8" s="9" t="s">
        <v>11</v>
      </c>
      <c r="D8" s="9" t="s">
        <v>12</v>
      </c>
      <c r="E8" s="9" t="s">
        <v>13</v>
      </c>
      <c r="F8" s="9" t="s">
        <v>14</v>
      </c>
      <c r="G8" s="9" t="s">
        <v>15</v>
      </c>
      <c r="H8" s="9" t="s">
        <v>16</v>
      </c>
      <c r="I8" s="9" t="s">
        <v>17</v>
      </c>
      <c r="J8" s="9" t="s">
        <v>18</v>
      </c>
      <c r="K8" s="9" t="s">
        <v>19</v>
      </c>
      <c r="L8" s="9" t="s">
        <v>20</v>
      </c>
      <c r="M8" s="9" t="s">
        <v>21</v>
      </c>
      <c r="N8" s="10" t="s">
        <v>22</v>
      </c>
      <c r="O8" s="10" t="s">
        <v>23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6"/>
      <c r="B9" s="6" t="s">
        <v>24</v>
      </c>
      <c r="C9" s="6" t="s">
        <v>25</v>
      </c>
      <c r="D9" s="6" t="s">
        <v>26</v>
      </c>
      <c r="E9" s="6" t="s">
        <v>27</v>
      </c>
      <c r="F9" s="11">
        <v>2426.35</v>
      </c>
      <c r="G9" s="6" t="s">
        <v>28</v>
      </c>
      <c r="H9" s="6" t="s">
        <v>29</v>
      </c>
      <c r="I9" s="6" t="s">
        <v>30</v>
      </c>
      <c r="J9" s="6" t="s">
        <v>31</v>
      </c>
      <c r="K9" s="6" t="str">
        <f>IF(I9="Prescindible","Revisar","ok")</f>
        <v>Revisar</v>
      </c>
      <c r="L9" s="6" t="str">
        <f>IF(AND(H9="Fijo",I9="Necesario"),"Revisar","ok")</f>
        <v>ok</v>
      </c>
      <c r="M9" s="6" t="str">
        <f>IF(OR(J9="Imprevisto",I9="Prescindible"),"Revisar","ok")</f>
        <v>Revisar</v>
      </c>
      <c r="N9" s="11">
        <f>SUMIF($C$9:$C$58,"Salud",$F$9:$F$58)</f>
        <v>53291.24</v>
      </c>
      <c r="O9" s="6">
        <f>COUNTIF($C$9:$C$58,"Entretenimiento")</f>
        <v>9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6"/>
      <c r="B10" s="6" t="s">
        <v>32</v>
      </c>
      <c r="C10" s="6" t="s">
        <v>33</v>
      </c>
      <c r="D10" s="6" t="s">
        <v>34</v>
      </c>
      <c r="E10" s="6" t="s">
        <v>35</v>
      </c>
      <c r="F10" s="11">
        <v>6811.21</v>
      </c>
      <c r="G10" s="6" t="s">
        <v>36</v>
      </c>
      <c r="H10" s="6" t="s">
        <v>65</v>
      </c>
      <c r="I10" s="6" t="s">
        <v>30</v>
      </c>
      <c r="J10" s="6" t="s">
        <v>31</v>
      </c>
      <c r="K10" s="6" t="str">
        <f t="shared" ref="K10:K58" si="0">IF(I10="Prescindible","Revisar","ok")</f>
        <v>Revisar</v>
      </c>
      <c r="L10" s="6" t="str">
        <f t="shared" ref="L10:L58" si="1">IF(AND(H10="Fijo",I10="Necesario"),"Revisar","ok")</f>
        <v>ok</v>
      </c>
      <c r="M10" s="6" t="str">
        <f t="shared" ref="M10:M58" si="2">IF(OR(J10="Imprevisto",I10="Prescindible"),"Revisar","ok")</f>
        <v>Revisar</v>
      </c>
      <c r="N10" s="12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6"/>
      <c r="B11" s="6" t="s">
        <v>37</v>
      </c>
      <c r="C11" s="6" t="s">
        <v>38</v>
      </c>
      <c r="D11" s="6" t="s">
        <v>39</v>
      </c>
      <c r="E11" s="6" t="s">
        <v>40</v>
      </c>
      <c r="F11" s="11">
        <v>1376.62</v>
      </c>
      <c r="G11" s="6" t="s">
        <v>41</v>
      </c>
      <c r="H11" s="6" t="s">
        <v>29</v>
      </c>
      <c r="I11" s="6" t="s">
        <v>30</v>
      </c>
      <c r="J11" s="6" t="s">
        <v>31</v>
      </c>
      <c r="K11" s="6" t="str">
        <f t="shared" si="0"/>
        <v>Revisar</v>
      </c>
      <c r="L11" s="6" t="str">
        <f t="shared" si="1"/>
        <v>ok</v>
      </c>
      <c r="M11" s="6" t="str">
        <f t="shared" si="2"/>
        <v>Revisar</v>
      </c>
      <c r="N11" s="11">
        <f>SUMIF($C$9:$C$58,"Personales",$F$9:$F$58)</f>
        <v>18528.559999999998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6"/>
      <c r="B12" s="6" t="s">
        <v>42</v>
      </c>
      <c r="C12" s="6" t="s">
        <v>43</v>
      </c>
      <c r="D12" s="6" t="s">
        <v>44</v>
      </c>
      <c r="E12" s="6" t="s">
        <v>45</v>
      </c>
      <c r="F12" s="11">
        <v>586.6</v>
      </c>
      <c r="G12" s="6" t="s">
        <v>46</v>
      </c>
      <c r="H12" s="6" t="s">
        <v>65</v>
      </c>
      <c r="I12" s="6" t="s">
        <v>30</v>
      </c>
      <c r="J12" s="6" t="s">
        <v>47</v>
      </c>
      <c r="K12" s="6" t="str">
        <f t="shared" si="0"/>
        <v>Revisar</v>
      </c>
      <c r="L12" s="6" t="str">
        <f t="shared" si="1"/>
        <v>ok</v>
      </c>
      <c r="M12" s="6" t="str">
        <f t="shared" si="2"/>
        <v>Revisar</v>
      </c>
      <c r="N12" s="12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6"/>
      <c r="B13" s="6" t="s">
        <v>48</v>
      </c>
      <c r="C13" s="6" t="s">
        <v>49</v>
      </c>
      <c r="D13" s="6" t="s">
        <v>50</v>
      </c>
      <c r="E13" s="6" t="s">
        <v>51</v>
      </c>
      <c r="F13" s="11">
        <v>7141.26</v>
      </c>
      <c r="G13" s="6" t="s">
        <v>28</v>
      </c>
      <c r="H13" s="6" t="s">
        <v>29</v>
      </c>
      <c r="I13" s="6" t="s">
        <v>52</v>
      </c>
      <c r="J13" s="6" t="s">
        <v>31</v>
      </c>
      <c r="K13" s="6" t="str">
        <f t="shared" si="0"/>
        <v>ok</v>
      </c>
      <c r="L13" s="6" t="str">
        <f t="shared" si="1"/>
        <v>ok</v>
      </c>
      <c r="M13" s="6" t="str">
        <f t="shared" si="2"/>
        <v>Revisar</v>
      </c>
      <c r="N13" s="11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6"/>
      <c r="B14" s="6" t="s">
        <v>53</v>
      </c>
      <c r="C14" s="6" t="s">
        <v>54</v>
      </c>
      <c r="D14" s="6" t="s">
        <v>55</v>
      </c>
      <c r="E14" s="6" t="s">
        <v>56</v>
      </c>
      <c r="F14" s="11">
        <v>743.9</v>
      </c>
      <c r="G14" s="6" t="s">
        <v>41</v>
      </c>
      <c r="H14" s="6" t="s">
        <v>29</v>
      </c>
      <c r="I14" s="6" t="s">
        <v>30</v>
      </c>
      <c r="J14" s="6" t="s">
        <v>47</v>
      </c>
      <c r="K14" s="6" t="str">
        <f t="shared" si="0"/>
        <v>Revisar</v>
      </c>
      <c r="L14" s="6" t="str">
        <f t="shared" si="1"/>
        <v>ok</v>
      </c>
      <c r="M14" s="6" t="str">
        <f t="shared" si="2"/>
        <v>Revisar</v>
      </c>
      <c r="N14" s="12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6"/>
      <c r="B15" s="6" t="s">
        <v>57</v>
      </c>
      <c r="C15" s="6" t="s">
        <v>25</v>
      </c>
      <c r="D15" s="6" t="s">
        <v>26</v>
      </c>
      <c r="E15" s="6" t="s">
        <v>27</v>
      </c>
      <c r="F15" s="11">
        <v>6947.58</v>
      </c>
      <c r="G15" s="6" t="s">
        <v>36</v>
      </c>
      <c r="H15" s="6" t="s">
        <v>29</v>
      </c>
      <c r="I15" s="6" t="s">
        <v>30</v>
      </c>
      <c r="J15" s="6" t="s">
        <v>31</v>
      </c>
      <c r="K15" s="6" t="str">
        <f t="shared" si="0"/>
        <v>Revisar</v>
      </c>
      <c r="L15" s="6" t="str">
        <f t="shared" si="1"/>
        <v>ok</v>
      </c>
      <c r="M15" s="6" t="str">
        <f t="shared" si="2"/>
        <v>Revisar</v>
      </c>
      <c r="N15" s="11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6"/>
      <c r="B16" s="6" t="s">
        <v>58</v>
      </c>
      <c r="C16" s="6" t="s">
        <v>25</v>
      </c>
      <c r="D16" s="6" t="s">
        <v>59</v>
      </c>
      <c r="E16" s="6" t="s">
        <v>60</v>
      </c>
      <c r="F16" s="11">
        <v>2689.67</v>
      </c>
      <c r="G16" s="6" t="s">
        <v>28</v>
      </c>
      <c r="H16" s="6" t="s">
        <v>29</v>
      </c>
      <c r="I16" s="6" t="s">
        <v>30</v>
      </c>
      <c r="J16" s="6" t="s">
        <v>31</v>
      </c>
      <c r="K16" s="6" t="str">
        <f t="shared" si="0"/>
        <v>Revisar</v>
      </c>
      <c r="L16" s="6" t="str">
        <f t="shared" si="1"/>
        <v>ok</v>
      </c>
      <c r="M16" s="6" t="str">
        <f t="shared" si="2"/>
        <v>Revisar</v>
      </c>
      <c r="N16" s="12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6"/>
      <c r="B17" s="6" t="s">
        <v>61</v>
      </c>
      <c r="C17" s="6" t="s">
        <v>54</v>
      </c>
      <c r="D17" s="6" t="s">
        <v>55</v>
      </c>
      <c r="E17" s="6" t="s">
        <v>56</v>
      </c>
      <c r="F17" s="11">
        <v>9140.57</v>
      </c>
      <c r="G17" s="6" t="s">
        <v>46</v>
      </c>
      <c r="H17" s="6" t="s">
        <v>29</v>
      </c>
      <c r="I17" s="6" t="s">
        <v>30</v>
      </c>
      <c r="J17" s="6" t="s">
        <v>47</v>
      </c>
      <c r="K17" s="6" t="str">
        <f t="shared" si="0"/>
        <v>Revisar</v>
      </c>
      <c r="L17" s="6" t="str">
        <f t="shared" si="1"/>
        <v>ok</v>
      </c>
      <c r="M17" s="6" t="str">
        <f t="shared" si="2"/>
        <v>Revisar</v>
      </c>
      <c r="N17" s="11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6"/>
      <c r="B18" s="6" t="s">
        <v>62</v>
      </c>
      <c r="C18" s="6" t="s">
        <v>49</v>
      </c>
      <c r="D18" s="6" t="s">
        <v>63</v>
      </c>
      <c r="E18" s="6" t="s">
        <v>64</v>
      </c>
      <c r="F18" s="11">
        <v>8301.77</v>
      </c>
      <c r="G18" s="6" t="s">
        <v>41</v>
      </c>
      <c r="H18" s="6" t="s">
        <v>65</v>
      </c>
      <c r="I18" s="6" t="s">
        <v>52</v>
      </c>
      <c r="J18" s="6" t="s">
        <v>47</v>
      </c>
      <c r="K18" s="6" t="str">
        <f t="shared" si="0"/>
        <v>ok</v>
      </c>
      <c r="L18" s="6" t="str">
        <f t="shared" si="1"/>
        <v>Revisar</v>
      </c>
      <c r="M18" s="6" t="str">
        <f t="shared" si="2"/>
        <v>ok</v>
      </c>
      <c r="N18" s="12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6"/>
      <c r="B19" s="6" t="s">
        <v>48</v>
      </c>
      <c r="C19" s="6" t="s">
        <v>49</v>
      </c>
      <c r="D19" s="6" t="s">
        <v>50</v>
      </c>
      <c r="E19" s="6" t="s">
        <v>51</v>
      </c>
      <c r="F19" s="11">
        <v>7326.61</v>
      </c>
      <c r="G19" s="6" t="s">
        <v>36</v>
      </c>
      <c r="H19" s="6" t="s">
        <v>29</v>
      </c>
      <c r="I19" s="6" t="s">
        <v>52</v>
      </c>
      <c r="J19" s="6" t="s">
        <v>31</v>
      </c>
      <c r="K19" s="6" t="str">
        <f t="shared" si="0"/>
        <v>ok</v>
      </c>
      <c r="L19" s="6" t="str">
        <f t="shared" si="1"/>
        <v>ok</v>
      </c>
      <c r="M19" s="6" t="str">
        <f t="shared" si="2"/>
        <v>Revisar</v>
      </c>
      <c r="N19" s="11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6"/>
      <c r="B20" s="6" t="s">
        <v>48</v>
      </c>
      <c r="C20" s="6" t="s">
        <v>38</v>
      </c>
      <c r="D20" s="6" t="s">
        <v>39</v>
      </c>
      <c r="E20" s="6" t="s">
        <v>40</v>
      </c>
      <c r="F20" s="11">
        <v>8315.89</v>
      </c>
      <c r="G20" s="6" t="s">
        <v>41</v>
      </c>
      <c r="H20" s="6" t="s">
        <v>29</v>
      </c>
      <c r="I20" s="6" t="s">
        <v>30</v>
      </c>
      <c r="J20" s="6" t="s">
        <v>47</v>
      </c>
      <c r="K20" s="6" t="str">
        <f t="shared" si="0"/>
        <v>Revisar</v>
      </c>
      <c r="L20" s="6" t="str">
        <f t="shared" si="1"/>
        <v>ok</v>
      </c>
      <c r="M20" s="6" t="str">
        <f t="shared" si="2"/>
        <v>Revisar</v>
      </c>
      <c r="N20" s="12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6"/>
      <c r="B21" s="6" t="s">
        <v>66</v>
      </c>
      <c r="C21" s="6" t="s">
        <v>25</v>
      </c>
      <c r="D21" s="6" t="s">
        <v>26</v>
      </c>
      <c r="E21" s="6" t="s">
        <v>27</v>
      </c>
      <c r="F21" s="11">
        <v>5654.18</v>
      </c>
      <c r="G21" s="6" t="s">
        <v>46</v>
      </c>
      <c r="H21" s="6" t="s">
        <v>29</v>
      </c>
      <c r="I21" s="6" t="s">
        <v>30</v>
      </c>
      <c r="J21" s="6" t="s">
        <v>47</v>
      </c>
      <c r="K21" s="6" t="str">
        <f t="shared" si="0"/>
        <v>Revisar</v>
      </c>
      <c r="L21" s="6" t="str">
        <f t="shared" si="1"/>
        <v>ok</v>
      </c>
      <c r="M21" s="6" t="str">
        <f t="shared" si="2"/>
        <v>Revisar</v>
      </c>
      <c r="N21" s="11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6"/>
      <c r="B22" s="6" t="s">
        <v>67</v>
      </c>
      <c r="C22" s="6" t="s">
        <v>68</v>
      </c>
      <c r="D22" s="6" t="s">
        <v>69</v>
      </c>
      <c r="E22" s="6" t="s">
        <v>70</v>
      </c>
      <c r="F22" s="11">
        <v>7343.24</v>
      </c>
      <c r="G22" s="6" t="s">
        <v>71</v>
      </c>
      <c r="H22" s="6" t="s">
        <v>65</v>
      </c>
      <c r="I22" s="6" t="s">
        <v>30</v>
      </c>
      <c r="J22" s="6" t="s">
        <v>31</v>
      </c>
      <c r="K22" s="6" t="str">
        <f t="shared" si="0"/>
        <v>Revisar</v>
      </c>
      <c r="L22" s="6" t="str">
        <f t="shared" si="1"/>
        <v>ok</v>
      </c>
      <c r="M22" s="6" t="str">
        <f t="shared" si="2"/>
        <v>Revisar</v>
      </c>
      <c r="N22" s="12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6"/>
      <c r="B23" s="6" t="s">
        <v>72</v>
      </c>
      <c r="C23" s="6" t="s">
        <v>49</v>
      </c>
      <c r="D23" s="6" t="s">
        <v>50</v>
      </c>
      <c r="E23" s="6" t="s">
        <v>51</v>
      </c>
      <c r="F23" s="11">
        <v>4102.43</v>
      </c>
      <c r="G23" s="6" t="s">
        <v>46</v>
      </c>
      <c r="H23" s="6" t="s">
        <v>29</v>
      </c>
      <c r="I23" s="6" t="s">
        <v>52</v>
      </c>
      <c r="J23" s="6" t="s">
        <v>47</v>
      </c>
      <c r="K23" s="6" t="str">
        <f t="shared" si="0"/>
        <v>ok</v>
      </c>
      <c r="L23" s="6" t="str">
        <f t="shared" si="1"/>
        <v>ok</v>
      </c>
      <c r="M23" s="6" t="str">
        <f t="shared" si="2"/>
        <v>ok</v>
      </c>
      <c r="N23" s="11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6"/>
      <c r="B24" s="6" t="s">
        <v>73</v>
      </c>
      <c r="C24" s="6" t="s">
        <v>68</v>
      </c>
      <c r="D24" s="6" t="s">
        <v>69</v>
      </c>
      <c r="E24" s="6" t="s">
        <v>70</v>
      </c>
      <c r="F24" s="11">
        <v>3965.02</v>
      </c>
      <c r="G24" s="6" t="s">
        <v>46</v>
      </c>
      <c r="H24" s="6" t="s">
        <v>65</v>
      </c>
      <c r="I24" s="6" t="s">
        <v>30</v>
      </c>
      <c r="J24" s="6" t="s">
        <v>31</v>
      </c>
      <c r="K24" s="6" t="str">
        <f t="shared" si="0"/>
        <v>Revisar</v>
      </c>
      <c r="L24" s="6" t="str">
        <f t="shared" si="1"/>
        <v>ok</v>
      </c>
      <c r="M24" s="6" t="str">
        <f t="shared" si="2"/>
        <v>Revisar</v>
      </c>
      <c r="N24" s="12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6"/>
      <c r="B25" s="6" t="s">
        <v>74</v>
      </c>
      <c r="C25" s="6" t="s">
        <v>68</v>
      </c>
      <c r="D25" s="6" t="s">
        <v>75</v>
      </c>
      <c r="E25" s="6" t="s">
        <v>76</v>
      </c>
      <c r="F25" s="11">
        <v>2071.0100000000002</v>
      </c>
      <c r="G25" s="6" t="s">
        <v>41</v>
      </c>
      <c r="H25" s="6" t="s">
        <v>29</v>
      </c>
      <c r="I25" s="6" t="s">
        <v>30</v>
      </c>
      <c r="J25" s="6" t="s">
        <v>47</v>
      </c>
      <c r="K25" s="6" t="str">
        <f t="shared" si="0"/>
        <v>Revisar</v>
      </c>
      <c r="L25" s="6" t="str">
        <f t="shared" si="1"/>
        <v>ok</v>
      </c>
      <c r="M25" s="6" t="str">
        <f t="shared" si="2"/>
        <v>Revisar</v>
      </c>
      <c r="N25" s="11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"/>
      <c r="B26" s="6" t="s">
        <v>77</v>
      </c>
      <c r="C26" s="6" t="s">
        <v>68</v>
      </c>
      <c r="D26" s="6" t="s">
        <v>75</v>
      </c>
      <c r="E26" s="6" t="s">
        <v>76</v>
      </c>
      <c r="F26" s="11">
        <v>8580.83</v>
      </c>
      <c r="G26" s="6" t="s">
        <v>28</v>
      </c>
      <c r="H26" s="6" t="s">
        <v>29</v>
      </c>
      <c r="I26" s="6" t="s">
        <v>30</v>
      </c>
      <c r="J26" s="6" t="s">
        <v>31</v>
      </c>
      <c r="K26" s="6" t="str">
        <f t="shared" si="0"/>
        <v>Revisar</v>
      </c>
      <c r="L26" s="6" t="str">
        <f t="shared" si="1"/>
        <v>ok</v>
      </c>
      <c r="M26" s="6" t="str">
        <f t="shared" si="2"/>
        <v>Revisar</v>
      </c>
      <c r="N26" s="12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"/>
      <c r="B27" s="6" t="s">
        <v>78</v>
      </c>
      <c r="C27" s="6" t="s">
        <v>49</v>
      </c>
      <c r="D27" s="6" t="s">
        <v>50</v>
      </c>
      <c r="E27" s="6" t="s">
        <v>51</v>
      </c>
      <c r="F27" s="11">
        <v>6583.38</v>
      </c>
      <c r="G27" s="6" t="s">
        <v>41</v>
      </c>
      <c r="H27" s="6" t="s">
        <v>29</v>
      </c>
      <c r="I27" s="6" t="s">
        <v>52</v>
      </c>
      <c r="J27" s="6" t="s">
        <v>47</v>
      </c>
      <c r="K27" s="6" t="str">
        <f t="shared" si="0"/>
        <v>ok</v>
      </c>
      <c r="L27" s="6" t="str">
        <f t="shared" si="1"/>
        <v>ok</v>
      </c>
      <c r="M27" s="6" t="str">
        <f t="shared" si="2"/>
        <v>ok</v>
      </c>
      <c r="N27" s="11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6" t="s">
        <v>79</v>
      </c>
      <c r="C28" s="6" t="s">
        <v>54</v>
      </c>
      <c r="D28" s="6" t="s">
        <v>55</v>
      </c>
      <c r="E28" s="6" t="s">
        <v>56</v>
      </c>
      <c r="F28" s="11">
        <v>3520.45</v>
      </c>
      <c r="G28" s="6" t="s">
        <v>71</v>
      </c>
      <c r="H28" s="6" t="s">
        <v>29</v>
      </c>
      <c r="I28" s="6" t="s">
        <v>30</v>
      </c>
      <c r="J28" s="6" t="s">
        <v>31</v>
      </c>
      <c r="K28" s="6" t="str">
        <f t="shared" si="0"/>
        <v>Revisar</v>
      </c>
      <c r="L28" s="6" t="str">
        <f t="shared" si="1"/>
        <v>ok</v>
      </c>
      <c r="M28" s="6" t="str">
        <f t="shared" si="2"/>
        <v>Revisar</v>
      </c>
      <c r="N28" s="12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6" t="s">
        <v>80</v>
      </c>
      <c r="C29" s="6" t="s">
        <v>68</v>
      </c>
      <c r="D29" s="6" t="s">
        <v>75</v>
      </c>
      <c r="E29" s="6" t="s">
        <v>76</v>
      </c>
      <c r="F29" s="11">
        <v>6990.49</v>
      </c>
      <c r="G29" s="6" t="s">
        <v>28</v>
      </c>
      <c r="H29" s="6" t="s">
        <v>29</v>
      </c>
      <c r="I29" s="6" t="s">
        <v>30</v>
      </c>
      <c r="J29" s="6" t="s">
        <v>31</v>
      </c>
      <c r="K29" s="6" t="str">
        <f t="shared" si="0"/>
        <v>Revisar</v>
      </c>
      <c r="L29" s="6" t="str">
        <f t="shared" si="1"/>
        <v>ok</v>
      </c>
      <c r="M29" s="6" t="str">
        <f t="shared" si="2"/>
        <v>Revisar</v>
      </c>
      <c r="N29" s="11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6" t="s">
        <v>81</v>
      </c>
      <c r="C30" s="6" t="s">
        <v>25</v>
      </c>
      <c r="D30" s="6" t="s">
        <v>59</v>
      </c>
      <c r="E30" s="6" t="s">
        <v>60</v>
      </c>
      <c r="F30" s="11">
        <v>9927.27</v>
      </c>
      <c r="G30" s="6" t="s">
        <v>36</v>
      </c>
      <c r="H30" s="6" t="s">
        <v>29</v>
      </c>
      <c r="I30" s="6" t="s">
        <v>30</v>
      </c>
      <c r="J30" s="6" t="s">
        <v>47</v>
      </c>
      <c r="K30" s="6" t="str">
        <f t="shared" si="0"/>
        <v>Revisar</v>
      </c>
      <c r="L30" s="6" t="str">
        <f t="shared" si="1"/>
        <v>ok</v>
      </c>
      <c r="M30" s="6" t="str">
        <f t="shared" si="2"/>
        <v>Revisar</v>
      </c>
      <c r="N30" s="12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6" t="s">
        <v>82</v>
      </c>
      <c r="C31" s="6" t="s">
        <v>25</v>
      </c>
      <c r="D31" s="6" t="s">
        <v>26</v>
      </c>
      <c r="E31" s="6" t="s">
        <v>27</v>
      </c>
      <c r="F31" s="11">
        <v>6176.14</v>
      </c>
      <c r="G31" s="6" t="s">
        <v>41</v>
      </c>
      <c r="H31" s="6" t="s">
        <v>29</v>
      </c>
      <c r="I31" s="6" t="s">
        <v>30</v>
      </c>
      <c r="J31" s="6" t="s">
        <v>31</v>
      </c>
      <c r="K31" s="6" t="str">
        <f t="shared" si="0"/>
        <v>Revisar</v>
      </c>
      <c r="L31" s="6" t="str">
        <f t="shared" si="1"/>
        <v>ok</v>
      </c>
      <c r="M31" s="6" t="str">
        <f t="shared" si="2"/>
        <v>Revisar</v>
      </c>
      <c r="N31" s="11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6" t="s">
        <v>83</v>
      </c>
      <c r="C32" s="6" t="s">
        <v>49</v>
      </c>
      <c r="D32" s="6" t="s">
        <v>50</v>
      </c>
      <c r="E32" s="6" t="s">
        <v>51</v>
      </c>
      <c r="F32" s="11">
        <v>4321.1499999999996</v>
      </c>
      <c r="G32" s="6" t="s">
        <v>46</v>
      </c>
      <c r="H32" s="6" t="s">
        <v>29</v>
      </c>
      <c r="I32" s="6" t="s">
        <v>52</v>
      </c>
      <c r="J32" s="6" t="s">
        <v>47</v>
      </c>
      <c r="K32" s="6" t="str">
        <f t="shared" si="0"/>
        <v>ok</v>
      </c>
      <c r="L32" s="6" t="str">
        <f t="shared" si="1"/>
        <v>ok</v>
      </c>
      <c r="M32" s="6" t="str">
        <f t="shared" si="2"/>
        <v>ok</v>
      </c>
      <c r="N32" s="12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6" t="s">
        <v>48</v>
      </c>
      <c r="C33" s="6" t="s">
        <v>38</v>
      </c>
      <c r="D33" s="6" t="s">
        <v>39</v>
      </c>
      <c r="E33" s="6" t="s">
        <v>40</v>
      </c>
      <c r="F33" s="11">
        <v>4059.2</v>
      </c>
      <c r="G33" s="6" t="s">
        <v>71</v>
      </c>
      <c r="H33" s="6" t="s">
        <v>29</v>
      </c>
      <c r="I33" s="6" t="s">
        <v>30</v>
      </c>
      <c r="J33" s="6" t="s">
        <v>31</v>
      </c>
      <c r="K33" s="6" t="str">
        <f t="shared" si="0"/>
        <v>Revisar</v>
      </c>
      <c r="L33" s="6" t="str">
        <f t="shared" si="1"/>
        <v>ok</v>
      </c>
      <c r="M33" s="6" t="str">
        <f t="shared" si="2"/>
        <v>Revisar</v>
      </c>
      <c r="N33" s="11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6" t="s">
        <v>32</v>
      </c>
      <c r="C34" s="6" t="s">
        <v>68</v>
      </c>
      <c r="D34" s="6" t="s">
        <v>75</v>
      </c>
      <c r="E34" s="6" t="s">
        <v>76</v>
      </c>
      <c r="F34" s="11">
        <v>6535</v>
      </c>
      <c r="G34" s="6" t="s">
        <v>28</v>
      </c>
      <c r="H34" s="6" t="s">
        <v>29</v>
      </c>
      <c r="I34" s="6" t="s">
        <v>30</v>
      </c>
      <c r="J34" s="6" t="s">
        <v>31</v>
      </c>
      <c r="K34" s="6" t="str">
        <f t="shared" si="0"/>
        <v>Revisar</v>
      </c>
      <c r="L34" s="6" t="str">
        <f t="shared" si="1"/>
        <v>ok</v>
      </c>
      <c r="M34" s="6" t="str">
        <f t="shared" si="2"/>
        <v>Revisar</v>
      </c>
      <c r="N34" s="12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6" t="s">
        <v>84</v>
      </c>
      <c r="C35" s="6" t="s">
        <v>43</v>
      </c>
      <c r="D35" s="6" t="s">
        <v>85</v>
      </c>
      <c r="E35" s="6" t="s">
        <v>86</v>
      </c>
      <c r="F35" s="11">
        <v>7619.61</v>
      </c>
      <c r="G35" s="6" t="s">
        <v>28</v>
      </c>
      <c r="H35" s="6" t="s">
        <v>65</v>
      </c>
      <c r="I35" s="6" t="s">
        <v>52</v>
      </c>
      <c r="J35" s="6" t="s">
        <v>47</v>
      </c>
      <c r="K35" s="6" t="str">
        <f t="shared" si="0"/>
        <v>ok</v>
      </c>
      <c r="L35" s="6" t="str">
        <f t="shared" si="1"/>
        <v>Revisar</v>
      </c>
      <c r="M35" s="6" t="str">
        <f t="shared" si="2"/>
        <v>ok</v>
      </c>
      <c r="N35" s="11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6" t="s">
        <v>87</v>
      </c>
      <c r="C36" s="6" t="s">
        <v>68</v>
      </c>
      <c r="D36" s="6" t="s">
        <v>75</v>
      </c>
      <c r="E36" s="6" t="s">
        <v>76</v>
      </c>
      <c r="F36" s="11">
        <v>3917.72</v>
      </c>
      <c r="G36" s="6" t="s">
        <v>46</v>
      </c>
      <c r="H36" s="6" t="s">
        <v>29</v>
      </c>
      <c r="I36" s="6" t="s">
        <v>30</v>
      </c>
      <c r="J36" s="6" t="s">
        <v>31</v>
      </c>
      <c r="K36" s="6" t="str">
        <f t="shared" si="0"/>
        <v>Revisar</v>
      </c>
      <c r="L36" s="6" t="str">
        <f t="shared" si="1"/>
        <v>ok</v>
      </c>
      <c r="M36" s="6" t="str">
        <f t="shared" si="2"/>
        <v>Revisar</v>
      </c>
      <c r="N36" s="12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6" t="s">
        <v>53</v>
      </c>
      <c r="C37" s="6" t="s">
        <v>33</v>
      </c>
      <c r="D37" s="6" t="s">
        <v>34</v>
      </c>
      <c r="E37" s="6" t="s">
        <v>35</v>
      </c>
      <c r="F37" s="11">
        <v>1453.36</v>
      </c>
      <c r="G37" s="6" t="s">
        <v>71</v>
      </c>
      <c r="H37" s="6" t="s">
        <v>29</v>
      </c>
      <c r="I37" s="6" t="s">
        <v>30</v>
      </c>
      <c r="J37" s="6" t="s">
        <v>31</v>
      </c>
      <c r="K37" s="6" t="str">
        <f t="shared" si="0"/>
        <v>Revisar</v>
      </c>
      <c r="L37" s="6" t="str">
        <f t="shared" si="1"/>
        <v>ok</v>
      </c>
      <c r="M37" s="6" t="str">
        <f t="shared" si="2"/>
        <v>Revisar</v>
      </c>
      <c r="N37" s="11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6" t="s">
        <v>57</v>
      </c>
      <c r="C38" s="6" t="s">
        <v>43</v>
      </c>
      <c r="D38" s="6" t="s">
        <v>85</v>
      </c>
      <c r="E38" s="6" t="s">
        <v>86</v>
      </c>
      <c r="F38" s="11">
        <v>7377.79</v>
      </c>
      <c r="G38" s="6" t="s">
        <v>36</v>
      </c>
      <c r="H38" s="6" t="s">
        <v>65</v>
      </c>
      <c r="I38" s="6" t="s">
        <v>52</v>
      </c>
      <c r="J38" s="6" t="s">
        <v>31</v>
      </c>
      <c r="K38" s="6" t="str">
        <f t="shared" si="0"/>
        <v>ok</v>
      </c>
      <c r="L38" s="6" t="str">
        <f t="shared" si="1"/>
        <v>Revisar</v>
      </c>
      <c r="M38" s="6" t="str">
        <f t="shared" si="2"/>
        <v>Revisar</v>
      </c>
      <c r="N38" s="12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6" t="s">
        <v>88</v>
      </c>
      <c r="C39" s="6" t="s">
        <v>54</v>
      </c>
      <c r="D39" s="6" t="s">
        <v>89</v>
      </c>
      <c r="E39" s="6" t="s">
        <v>90</v>
      </c>
      <c r="F39" s="11">
        <v>9619.9</v>
      </c>
      <c r="G39" s="6" t="s">
        <v>46</v>
      </c>
      <c r="H39" s="6" t="s">
        <v>29</v>
      </c>
      <c r="I39" s="6" t="s">
        <v>52</v>
      </c>
      <c r="J39" s="6" t="s">
        <v>47</v>
      </c>
      <c r="K39" s="6" t="str">
        <f t="shared" si="0"/>
        <v>ok</v>
      </c>
      <c r="L39" s="6" t="str">
        <f t="shared" si="1"/>
        <v>ok</v>
      </c>
      <c r="M39" s="6" t="str">
        <f t="shared" si="2"/>
        <v>ok</v>
      </c>
      <c r="N39" s="11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6" t="s">
        <v>91</v>
      </c>
      <c r="C40" s="6" t="s">
        <v>43</v>
      </c>
      <c r="D40" s="6" t="s">
        <v>44</v>
      </c>
      <c r="E40" s="6" t="s">
        <v>45</v>
      </c>
      <c r="F40" s="11">
        <v>2417.2399999999998</v>
      </c>
      <c r="G40" s="6" t="s">
        <v>71</v>
      </c>
      <c r="H40" s="6" t="s">
        <v>29</v>
      </c>
      <c r="I40" s="6" t="s">
        <v>30</v>
      </c>
      <c r="J40" s="6" t="s">
        <v>31</v>
      </c>
      <c r="K40" s="6" t="str">
        <f t="shared" si="0"/>
        <v>Revisar</v>
      </c>
      <c r="L40" s="6" t="str">
        <f t="shared" si="1"/>
        <v>ok</v>
      </c>
      <c r="M40" s="6" t="str">
        <f t="shared" si="2"/>
        <v>Revisar</v>
      </c>
      <c r="N40" s="12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6" t="s">
        <v>84</v>
      </c>
      <c r="C41" s="6" t="s">
        <v>54</v>
      </c>
      <c r="D41" s="6" t="s">
        <v>89</v>
      </c>
      <c r="E41" s="6" t="s">
        <v>90</v>
      </c>
      <c r="F41" s="11">
        <v>9001.17</v>
      </c>
      <c r="G41" s="6" t="s">
        <v>28</v>
      </c>
      <c r="H41" s="6" t="s">
        <v>29</v>
      </c>
      <c r="I41" s="6" t="s">
        <v>52</v>
      </c>
      <c r="J41" s="6" t="s">
        <v>31</v>
      </c>
      <c r="K41" s="6" t="str">
        <f t="shared" si="0"/>
        <v>ok</v>
      </c>
      <c r="L41" s="6" t="str">
        <f t="shared" si="1"/>
        <v>ok</v>
      </c>
      <c r="M41" s="6" t="str">
        <f t="shared" si="2"/>
        <v>Revisar</v>
      </c>
      <c r="N41" s="11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6" t="s">
        <v>92</v>
      </c>
      <c r="C42" s="6" t="s">
        <v>49</v>
      </c>
      <c r="D42" s="6" t="s">
        <v>63</v>
      </c>
      <c r="E42" s="6" t="s">
        <v>64</v>
      </c>
      <c r="F42" s="11">
        <v>3176.46</v>
      </c>
      <c r="G42" s="6" t="s">
        <v>46</v>
      </c>
      <c r="H42" s="6" t="s">
        <v>65</v>
      </c>
      <c r="I42" s="6" t="s">
        <v>52</v>
      </c>
      <c r="J42" s="6" t="s">
        <v>47</v>
      </c>
      <c r="K42" s="6" t="str">
        <f t="shared" si="0"/>
        <v>ok</v>
      </c>
      <c r="L42" s="6" t="str">
        <f t="shared" si="1"/>
        <v>Revisar</v>
      </c>
      <c r="M42" s="6" t="str">
        <f t="shared" si="2"/>
        <v>ok</v>
      </c>
      <c r="N42" s="12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6" t="s">
        <v>61</v>
      </c>
      <c r="C43" s="6" t="s">
        <v>33</v>
      </c>
      <c r="D43" s="6" t="s">
        <v>34</v>
      </c>
      <c r="E43" s="6" t="s">
        <v>35</v>
      </c>
      <c r="F43" s="11">
        <v>4774.8</v>
      </c>
      <c r="G43" s="6" t="s">
        <v>41</v>
      </c>
      <c r="H43" s="6" t="s">
        <v>29</v>
      </c>
      <c r="I43" s="6" t="s">
        <v>30</v>
      </c>
      <c r="J43" s="6" t="s">
        <v>31</v>
      </c>
      <c r="K43" s="6" t="str">
        <f t="shared" si="0"/>
        <v>Revisar</v>
      </c>
      <c r="L43" s="6" t="str">
        <f t="shared" si="1"/>
        <v>ok</v>
      </c>
      <c r="M43" s="6" t="str">
        <f t="shared" si="2"/>
        <v>Revisar</v>
      </c>
      <c r="N43" s="11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6" t="s">
        <v>93</v>
      </c>
      <c r="C44" s="6" t="s">
        <v>68</v>
      </c>
      <c r="D44" s="6" t="s">
        <v>75</v>
      </c>
      <c r="E44" s="6" t="s">
        <v>76</v>
      </c>
      <c r="F44" s="11">
        <v>8497.76</v>
      </c>
      <c r="G44" s="6" t="s">
        <v>41</v>
      </c>
      <c r="H44" s="6" t="s">
        <v>29</v>
      </c>
      <c r="I44" s="6" t="s">
        <v>30</v>
      </c>
      <c r="J44" s="6" t="s">
        <v>47</v>
      </c>
      <c r="K44" s="6" t="str">
        <f t="shared" si="0"/>
        <v>Revisar</v>
      </c>
      <c r="L44" s="6" t="str">
        <f t="shared" si="1"/>
        <v>ok</v>
      </c>
      <c r="M44" s="6" t="str">
        <f t="shared" si="2"/>
        <v>Revisar</v>
      </c>
      <c r="N44" s="12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6" t="s">
        <v>92</v>
      </c>
      <c r="C45" s="6" t="s">
        <v>54</v>
      </c>
      <c r="D45" s="6" t="s">
        <v>55</v>
      </c>
      <c r="E45" s="6" t="s">
        <v>56</v>
      </c>
      <c r="F45" s="11">
        <v>8991.42</v>
      </c>
      <c r="G45" s="6" t="s">
        <v>41</v>
      </c>
      <c r="H45" s="6" t="s">
        <v>29</v>
      </c>
      <c r="I45" s="6" t="s">
        <v>30</v>
      </c>
      <c r="J45" s="6" t="s">
        <v>47</v>
      </c>
      <c r="K45" s="6" t="str">
        <f t="shared" si="0"/>
        <v>Revisar</v>
      </c>
      <c r="L45" s="6" t="str">
        <f t="shared" si="1"/>
        <v>ok</v>
      </c>
      <c r="M45" s="6" t="str">
        <f t="shared" si="2"/>
        <v>Revisar</v>
      </c>
      <c r="N45" s="11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6" t="s">
        <v>94</v>
      </c>
      <c r="C46" s="6" t="s">
        <v>25</v>
      </c>
      <c r="D46" s="6" t="s">
        <v>26</v>
      </c>
      <c r="E46" s="6" t="s">
        <v>27</v>
      </c>
      <c r="F46" s="11">
        <v>6770.1</v>
      </c>
      <c r="G46" s="6" t="s">
        <v>36</v>
      </c>
      <c r="H46" s="6" t="s">
        <v>29</v>
      </c>
      <c r="I46" s="6" t="s">
        <v>30</v>
      </c>
      <c r="J46" s="6" t="s">
        <v>31</v>
      </c>
      <c r="K46" s="6" t="str">
        <f t="shared" si="0"/>
        <v>Revisar</v>
      </c>
      <c r="L46" s="6" t="str">
        <f t="shared" si="1"/>
        <v>ok</v>
      </c>
      <c r="M46" s="6" t="str">
        <f t="shared" si="2"/>
        <v>Revisar</v>
      </c>
      <c r="N46" s="12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6" t="s">
        <v>67</v>
      </c>
      <c r="C47" s="6" t="s">
        <v>25</v>
      </c>
      <c r="D47" s="6" t="s">
        <v>26</v>
      </c>
      <c r="E47" s="6" t="s">
        <v>27</v>
      </c>
      <c r="F47" s="11">
        <v>7026.3</v>
      </c>
      <c r="G47" s="6" t="s">
        <v>36</v>
      </c>
      <c r="H47" s="6" t="s">
        <v>29</v>
      </c>
      <c r="I47" s="6" t="s">
        <v>30</v>
      </c>
      <c r="J47" s="6" t="s">
        <v>47</v>
      </c>
      <c r="K47" s="6" t="str">
        <f t="shared" si="0"/>
        <v>Revisar</v>
      </c>
      <c r="L47" s="6" t="str">
        <f t="shared" si="1"/>
        <v>ok</v>
      </c>
      <c r="M47" s="6" t="str">
        <f t="shared" si="2"/>
        <v>Revisar</v>
      </c>
      <c r="N47" s="11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6" t="s">
        <v>95</v>
      </c>
      <c r="C48" s="6" t="s">
        <v>49</v>
      </c>
      <c r="D48" s="6" t="s">
        <v>63</v>
      </c>
      <c r="E48" s="6" t="s">
        <v>64</v>
      </c>
      <c r="F48" s="11">
        <v>4253.43</v>
      </c>
      <c r="G48" s="6" t="s">
        <v>71</v>
      </c>
      <c r="H48" s="6" t="s">
        <v>65</v>
      </c>
      <c r="I48" s="6" t="s">
        <v>52</v>
      </c>
      <c r="J48" s="6" t="s">
        <v>47</v>
      </c>
      <c r="K48" s="6" t="str">
        <f t="shared" si="0"/>
        <v>ok</v>
      </c>
      <c r="L48" s="6" t="str">
        <f t="shared" si="1"/>
        <v>Revisar</v>
      </c>
      <c r="M48" s="6" t="str">
        <f t="shared" si="2"/>
        <v>ok</v>
      </c>
      <c r="N48" s="12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6" t="s">
        <v>94</v>
      </c>
      <c r="C49" s="6" t="s">
        <v>25</v>
      </c>
      <c r="D49" s="6" t="s">
        <v>26</v>
      </c>
      <c r="E49" s="6" t="s">
        <v>27</v>
      </c>
      <c r="F49" s="11">
        <v>2379.81</v>
      </c>
      <c r="G49" s="6" t="s">
        <v>41</v>
      </c>
      <c r="H49" s="6" t="s">
        <v>29</v>
      </c>
      <c r="I49" s="6" t="s">
        <v>30</v>
      </c>
      <c r="J49" s="6" t="s">
        <v>31</v>
      </c>
      <c r="K49" s="6" t="str">
        <f t="shared" si="0"/>
        <v>Revisar</v>
      </c>
      <c r="L49" s="6" t="str">
        <f t="shared" si="1"/>
        <v>ok</v>
      </c>
      <c r="M49" s="6" t="str">
        <f t="shared" si="2"/>
        <v>Revisar</v>
      </c>
      <c r="N49" s="11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6" t="s">
        <v>61</v>
      </c>
      <c r="C50" s="6" t="s">
        <v>25</v>
      </c>
      <c r="D50" s="6" t="s">
        <v>26</v>
      </c>
      <c r="E50" s="6" t="s">
        <v>27</v>
      </c>
      <c r="F50" s="11">
        <v>4075.05</v>
      </c>
      <c r="G50" s="6" t="s">
        <v>41</v>
      </c>
      <c r="H50" s="6" t="s">
        <v>29</v>
      </c>
      <c r="I50" s="6" t="s">
        <v>30</v>
      </c>
      <c r="J50" s="6" t="s">
        <v>31</v>
      </c>
      <c r="K50" s="6" t="str">
        <f t="shared" si="0"/>
        <v>Revisar</v>
      </c>
      <c r="L50" s="6" t="str">
        <f t="shared" si="1"/>
        <v>ok</v>
      </c>
      <c r="M50" s="6" t="str">
        <f t="shared" si="2"/>
        <v>Revisar</v>
      </c>
      <c r="N50" s="12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6" t="s">
        <v>96</v>
      </c>
      <c r="C51" s="6" t="s">
        <v>68</v>
      </c>
      <c r="D51" s="6" t="s">
        <v>69</v>
      </c>
      <c r="E51" s="6" t="s">
        <v>70</v>
      </c>
      <c r="F51" s="11">
        <v>1822.13</v>
      </c>
      <c r="G51" s="6" t="s">
        <v>46</v>
      </c>
      <c r="H51" s="6" t="s">
        <v>65</v>
      </c>
      <c r="I51" s="6" t="s">
        <v>30</v>
      </c>
      <c r="J51" s="6" t="s">
        <v>31</v>
      </c>
      <c r="K51" s="6" t="str">
        <f t="shared" si="0"/>
        <v>Revisar</v>
      </c>
      <c r="L51" s="6" t="str">
        <f t="shared" si="1"/>
        <v>ok</v>
      </c>
      <c r="M51" s="6" t="str">
        <f t="shared" si="2"/>
        <v>Revisar</v>
      </c>
      <c r="N51" s="11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6" t="s">
        <v>97</v>
      </c>
      <c r="C52" s="6" t="s">
        <v>25</v>
      </c>
      <c r="D52" s="6" t="s">
        <v>26</v>
      </c>
      <c r="E52" s="6" t="s">
        <v>27</v>
      </c>
      <c r="F52" s="11">
        <v>1370.02</v>
      </c>
      <c r="G52" s="6" t="s">
        <v>46</v>
      </c>
      <c r="H52" s="6" t="s">
        <v>29</v>
      </c>
      <c r="I52" s="6" t="s">
        <v>30</v>
      </c>
      <c r="J52" s="6" t="s">
        <v>31</v>
      </c>
      <c r="K52" s="6" t="str">
        <f t="shared" si="0"/>
        <v>Revisar</v>
      </c>
      <c r="L52" s="6" t="str">
        <f t="shared" si="1"/>
        <v>ok</v>
      </c>
      <c r="M52" s="6" t="str">
        <f t="shared" si="2"/>
        <v>Revisar</v>
      </c>
      <c r="N52" s="12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6" t="s">
        <v>32</v>
      </c>
      <c r="C53" s="6" t="s">
        <v>49</v>
      </c>
      <c r="D53" s="6" t="s">
        <v>63</v>
      </c>
      <c r="E53" s="6" t="s">
        <v>64</v>
      </c>
      <c r="F53" s="11">
        <v>3483.18</v>
      </c>
      <c r="G53" s="6" t="s">
        <v>36</v>
      </c>
      <c r="H53" s="6" t="s">
        <v>65</v>
      </c>
      <c r="I53" s="6" t="s">
        <v>52</v>
      </c>
      <c r="J53" s="6" t="s">
        <v>47</v>
      </c>
      <c r="K53" s="6" t="str">
        <f t="shared" si="0"/>
        <v>ok</v>
      </c>
      <c r="L53" s="6" t="str">
        <f t="shared" si="1"/>
        <v>Revisar</v>
      </c>
      <c r="M53" s="6" t="str">
        <f t="shared" si="2"/>
        <v>ok</v>
      </c>
      <c r="N53" s="11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6" t="s">
        <v>98</v>
      </c>
      <c r="C54" s="6" t="s">
        <v>49</v>
      </c>
      <c r="D54" s="6" t="s">
        <v>50</v>
      </c>
      <c r="E54" s="6" t="s">
        <v>51</v>
      </c>
      <c r="F54" s="11">
        <v>4601.57</v>
      </c>
      <c r="G54" s="6" t="s">
        <v>36</v>
      </c>
      <c r="H54" s="6" t="s">
        <v>29</v>
      </c>
      <c r="I54" s="6" t="s">
        <v>52</v>
      </c>
      <c r="J54" s="6" t="s">
        <v>47</v>
      </c>
      <c r="K54" s="6" t="str">
        <f t="shared" si="0"/>
        <v>ok</v>
      </c>
      <c r="L54" s="6" t="str">
        <f t="shared" si="1"/>
        <v>ok</v>
      </c>
      <c r="M54" s="6" t="str">
        <f t="shared" si="2"/>
        <v>ok</v>
      </c>
      <c r="N54" s="12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6" t="s">
        <v>84</v>
      </c>
      <c r="C55" s="6" t="s">
        <v>38</v>
      </c>
      <c r="D55" s="6" t="s">
        <v>39</v>
      </c>
      <c r="E55" s="6" t="s">
        <v>40</v>
      </c>
      <c r="F55" s="11">
        <v>4776.8500000000004</v>
      </c>
      <c r="G55" s="6" t="s">
        <v>41</v>
      </c>
      <c r="H55" s="6" t="s">
        <v>29</v>
      </c>
      <c r="I55" s="6" t="s">
        <v>30</v>
      </c>
      <c r="J55" s="6" t="s">
        <v>47</v>
      </c>
      <c r="K55" s="6" t="str">
        <f t="shared" si="0"/>
        <v>Revisar</v>
      </c>
      <c r="L55" s="6" t="str">
        <f t="shared" si="1"/>
        <v>ok</v>
      </c>
      <c r="M55" s="6" t="str">
        <f t="shared" si="2"/>
        <v>Revisar</v>
      </c>
      <c r="N55" s="11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6" t="s">
        <v>99</v>
      </c>
      <c r="C56" s="6" t="s">
        <v>54</v>
      </c>
      <c r="D56" s="6" t="s">
        <v>55</v>
      </c>
      <c r="E56" s="6" t="s">
        <v>56</v>
      </c>
      <c r="F56" s="11">
        <v>9482.19</v>
      </c>
      <c r="G56" s="6" t="s">
        <v>28</v>
      </c>
      <c r="H56" s="6" t="s">
        <v>29</v>
      </c>
      <c r="I56" s="6" t="s">
        <v>30</v>
      </c>
      <c r="J56" s="6" t="s">
        <v>31</v>
      </c>
      <c r="K56" s="6" t="str">
        <f t="shared" si="0"/>
        <v>Revisar</v>
      </c>
      <c r="L56" s="6" t="str">
        <f t="shared" si="1"/>
        <v>ok</v>
      </c>
      <c r="M56" s="6" t="str">
        <f t="shared" si="2"/>
        <v>Revisar</v>
      </c>
      <c r="N56" s="12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6" t="s">
        <v>100</v>
      </c>
      <c r="C57" s="6" t="s">
        <v>33</v>
      </c>
      <c r="D57" s="6" t="s">
        <v>34</v>
      </c>
      <c r="E57" s="6" t="s">
        <v>35</v>
      </c>
      <c r="F57" s="11">
        <v>9701.49</v>
      </c>
      <c r="G57" s="6" t="s">
        <v>41</v>
      </c>
      <c r="H57" s="6" t="s">
        <v>29</v>
      </c>
      <c r="I57" s="6" t="s">
        <v>30</v>
      </c>
      <c r="J57" s="6" t="s">
        <v>47</v>
      </c>
      <c r="K57" s="6" t="str">
        <f t="shared" si="0"/>
        <v>Revisar</v>
      </c>
      <c r="L57" s="6" t="str">
        <f t="shared" si="1"/>
        <v>ok</v>
      </c>
      <c r="M57" s="6" t="str">
        <f t="shared" si="2"/>
        <v>Revisar</v>
      </c>
      <c r="N57" s="11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 t="s">
        <v>101</v>
      </c>
      <c r="C58" s="6" t="s">
        <v>33</v>
      </c>
      <c r="D58" s="6" t="s">
        <v>34</v>
      </c>
      <c r="E58" s="6" t="s">
        <v>35</v>
      </c>
      <c r="F58" s="11">
        <v>2150.65</v>
      </c>
      <c r="G58" s="6" t="s">
        <v>46</v>
      </c>
      <c r="H58" s="6" t="s">
        <v>29</v>
      </c>
      <c r="I58" s="6" t="s">
        <v>30</v>
      </c>
      <c r="J58" s="6" t="s">
        <v>47</v>
      </c>
      <c r="K58" s="6" t="str">
        <f t="shared" si="0"/>
        <v>Revisar</v>
      </c>
      <c r="L58" s="6" t="str">
        <f t="shared" si="1"/>
        <v>ok</v>
      </c>
      <c r="M58" s="6" t="str">
        <f t="shared" si="2"/>
        <v>Revisar</v>
      </c>
      <c r="N58" s="12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Consolidate/>
  <dataValidations count="2">
    <dataValidation type="list" allowBlank="1" showInputMessage="1" showErrorMessage="1" sqref="H9:H58" xr:uid="{E582EB65-52DF-485A-B07C-CB1ED9299BC7}">
      <formula1>"Fijo, Variable"</formula1>
    </dataValidation>
    <dataValidation type="list" allowBlank="1" showInputMessage="1" showErrorMessage="1" sqref="J9:J58" xr:uid="{48AC5114-C1ED-498F-9E67-04F6E933F695}">
      <formula1>"Planeado, Imprevisto"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Intro</vt:lpstr>
      <vt:lpstr>Funciones Lógicas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LABA1-PC17</cp:lastModifiedBy>
  <dcterms:created xsi:type="dcterms:W3CDTF">2025-06-30T03:01:06Z</dcterms:created>
  <dcterms:modified xsi:type="dcterms:W3CDTF">2026-04-30T13:17:45Z</dcterms:modified>
</cp:coreProperties>
</file>